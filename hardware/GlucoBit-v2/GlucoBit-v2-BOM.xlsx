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" customWidth="1"/>
    <col min="2" max="2" width="22" customWidth="1"/>
    <col min="3" max="3" width="6" customWidth="1"/>
    <col min="4" max="4" width="16" customWidth="1"/>
    <col min="5" max="5" width="22" customWidth="1"/>
    <col min="6" max="6" width="20" customWidth="1"/>
    <col min="7" max="7" width="20" customWidth="1"/>
    <col min="8" max="8" width="36" customWidth="1"/>
    <col min="9" max="9" width="12" customWidth="1"/>
    <col min="10" max="10" width="12" customWidth="1"/>
    <col min="11" max="11" width="9" customWidth="1"/>
    <col min="12" max="12" width="18" customWidth="1"/>
    <col min="13" max="13" width="14" customWidth="1"/>
    <col min="14" max="14" width="14" customWidth="1"/>
    <col min="15" max="15" width="6" customWidth="1"/>
  </cols>
  <sheetData>
    <row r="1">
      <c r="A1" s="1" t="inlineStr">
        <is>
          <t xml:space="preserve">Bill of Materials - GlucoBit-v2</t>
        </is>
      </c>
    </row>
    <row r="2">
      <c r="A2" t="inlineStr">
        <is>
          <t xml:space="preserve">Generated 2026-06-13 by CertifyMe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Source: schematic</t>
        </is>
      </c>
      <c r="E2" t="inlineStr">
        <is>
          <t xml:space="preserve"/>
        </is>
      </c>
      <c r="F2" t="inlineStr">
        <is>
          <t xml:space="preserve">Currency: USD</t>
        </is>
      </c>
    </row>
    <row r="3"/>
    <row r="4">
      <c r="A4" s="1" t="inlineStr">
        <is>
          <t xml:space="preserve">#</t>
        </is>
      </c>
      <c r="B4" s="1" t="inlineStr">
        <is>
          <t xml:space="preserve">References</t>
        </is>
      </c>
      <c r="C4" s="1" t="inlineStr">
        <is>
          <t xml:space="preserve">Qty</t>
        </is>
      </c>
      <c r="D4" s="1" t="inlineStr">
        <is>
          <t xml:space="preserve">Value</t>
        </is>
      </c>
      <c r="E4" s="1" t="inlineStr">
        <is>
          <t xml:space="preserve">Footprint</t>
        </is>
      </c>
      <c r="F4" s="1" t="inlineStr">
        <is>
          <t xml:space="preserve">MPN</t>
        </is>
      </c>
      <c r="G4" s="1" t="inlineStr">
        <is>
          <t xml:space="preserve">Manufacturer</t>
        </is>
      </c>
      <c r="H4" s="1" t="inlineStr">
        <is>
          <t xml:space="preserve">Description</t>
        </is>
      </c>
      <c r="I4" s="1" t="inlineStr">
        <is>
          <t xml:space="preserve">Unit Price</t>
        </is>
      </c>
      <c r="J4" s="1" t="inlineStr">
        <is>
          <t xml:space="preserve">Ext. Price</t>
        </is>
      </c>
      <c r="K4" s="1" t="inlineStr">
        <is>
          <t xml:space="preserve">Stock</t>
        </is>
      </c>
      <c r="L4" s="1" t="inlineStr">
        <is>
          <t xml:space="preserve">Supplier P/N</t>
        </is>
      </c>
      <c r="M4" s="1" t="inlineStr">
        <is>
          <t xml:space="preserve">Datasheet</t>
        </is>
      </c>
      <c r="N4" s="1" t="inlineStr">
        <is>
          <t xml:space="preserve">Buy Link</t>
        </is>
      </c>
      <c r="O4" s="1" t="inlineStr">
        <is>
          <t xml:space="preserve">DNP</t>
        </is>
      </c>
    </row>
    <row r="5">
      <c r="A5">
        <v>1</v>
      </c>
      <c r="B5" t="inlineStr">
        <is>
          <t xml:space="preserve">C1, C2</t>
        </is>
      </c>
      <c r="C5">
        <v>2</v>
      </c>
      <c r="D5" t="inlineStr">
        <is>
          <t xml:space="preserve">1uF</t>
        </is>
      </c>
      <c r="E5" t="inlineStr">
        <is>
          <t xml:space="preserve">C_0805_2012Metric</t>
        </is>
      </c>
      <c r="F5" t="inlineStr">
        <is>
          <t xml:space="preserve">CL05B104KP5NNNC</t>
        </is>
      </c>
      <c r="G5" t="inlineStr">
        <is>
          <t xml:space="preserve">Samsung Electro-Mechanics</t>
        </is>
      </c>
      <c r="H5" t="inlineStr">
        <is>
          <t xml:space="preserve">CAP CER 0.1UF 10V X7R 0402</t>
        </is>
      </c>
      <c r="I5" s="3">
        <v>0.1</v>
      </c>
      <c r="J5" s="2">
        <v>0.2</v>
      </c>
      <c r="K5">
        <v>27468402</v>
      </c>
      <c r="L5" t="inlineStr">
        <is>
          <t xml:space="preserve">1276-1002-2-ND</t>
        </is>
      </c>
      <c r="M5" t="str">
        <f>HYPERLINK("https://mm.digikey.com/Volume0/opasdata/d220001/medias/docus/609/CL05B104KP5NNNC_Spec.pdf","Datasheet")</f>
        <v>Datasheet</v>
      </c>
      <c r="N5" t="str">
        <f>HYPERLINK("https://www.digikey.com/en/products/detail/samsung-electro-mechanics/CL05B104KP5NNNC/3886660","Buy")</f>
        <v>Buy</v>
      </c>
      <c r="O5" t="inlineStr">
        <is>
          <t xml:space="preserve"/>
        </is>
      </c>
    </row>
    <row r="6">
      <c r="A6">
        <v>2</v>
      </c>
      <c r="B6" t="inlineStr">
        <is>
          <t xml:space="preserve">C3, C4</t>
        </is>
      </c>
      <c r="C6">
        <v>2</v>
      </c>
      <c r="D6" t="inlineStr">
        <is>
          <t xml:space="preserve">1uF</t>
        </is>
      </c>
      <c r="E6" t="inlineStr">
        <is>
          <t xml:space="preserve">R_0603_1608Metric</t>
        </is>
      </c>
      <c r="F6" t="inlineStr">
        <is>
          <t xml:space="preserve">CL05B104KP5NNNC</t>
        </is>
      </c>
      <c r="G6" t="inlineStr">
        <is>
          <t xml:space="preserve">Samsung Electro-Mechanics</t>
        </is>
      </c>
      <c r="H6" t="inlineStr">
        <is>
          <t xml:space="preserve">CAP CER 0.1UF 10V X7R 0402</t>
        </is>
      </c>
      <c r="I6" s="3">
        <v>0.1</v>
      </c>
      <c r="J6" s="2">
        <v>0.2</v>
      </c>
      <c r="K6">
        <v>27468402</v>
      </c>
      <c r="L6" t="inlineStr">
        <is>
          <t xml:space="preserve">1276-1002-2-ND</t>
        </is>
      </c>
      <c r="M6" t="str">
        <f>HYPERLINK("https://mm.digikey.com/Volume0/opasdata/d220001/medias/docus/609/CL05B104KP5NNNC_Spec.pdf","Datasheet")</f>
        <v>Datasheet</v>
      </c>
      <c r="N6" t="str">
        <f>HYPERLINK("https://www.digikey.com/en/products/detail/samsung-electro-mechanics/CL05B104KP5NNNC/3886660","Buy")</f>
        <v>Buy</v>
      </c>
      <c r="O6" t="inlineStr">
        <is>
          <t xml:space="preserve"/>
        </is>
      </c>
    </row>
    <row r="7">
      <c r="A7">
        <v>3</v>
      </c>
      <c r="B7" t="inlineStr">
        <is>
          <t xml:space="preserve">C5</t>
        </is>
      </c>
      <c r="C7">
        <v>1</v>
      </c>
      <c r="D7" t="inlineStr">
        <is>
          <t xml:space="preserve">10uF</t>
        </is>
      </c>
      <c r="E7" t="inlineStr">
        <is>
          <t xml:space="preserve">C_0805_2012Metric</t>
        </is>
      </c>
      <c r="F7" t="inlineStr">
        <is>
          <t xml:space="preserve">GRM155R60J106ME05D</t>
        </is>
      </c>
      <c r="G7" t="inlineStr">
        <is>
          <t xml:space="preserve">Murata Electronics</t>
        </is>
      </c>
      <c r="H7" t="inlineStr">
        <is>
          <t xml:space="preserve">CAP CER 10UF 6.3V X5R 0402</t>
        </is>
      </c>
      <c r="I7" s="3">
        <v>0.1</v>
      </c>
      <c r="J7" s="2">
        <v>0.1</v>
      </c>
      <c r="K7">
        <v>766794</v>
      </c>
      <c r="L7" t="inlineStr">
        <is>
          <t xml:space="preserve">490-GRM155R60J106ME05DTR-ND</t>
        </is>
      </c>
      <c r="M7" t="str">
        <f>HYPERLINK("https://search.murata.co.jp/Ceramy/image/img/A01X/G101/ENG/GRM155R60J106ME05-01A.pdf","Datasheet")</f>
        <v>Datasheet</v>
      </c>
      <c r="N7" t="str">
        <f>HYPERLINK("https://www.digikey.com/en/products/detail/murata-electronics/GRM155R60J106ME05D/11500166","Buy")</f>
        <v>Buy</v>
      </c>
      <c r="O7" t="inlineStr">
        <is>
          <t xml:space="preserve"/>
        </is>
      </c>
    </row>
    <row r="8">
      <c r="A8">
        <v>4</v>
      </c>
      <c r="B8" t="inlineStr">
        <is>
          <t xml:space="preserve">C6, C8</t>
        </is>
      </c>
      <c r="C8">
        <v>2</v>
      </c>
      <c r="D8" t="inlineStr">
        <is>
          <t xml:space="preserve">10uF</t>
        </is>
      </c>
      <c r="E8" t="inlineStr">
        <is>
          <t xml:space="preserve">C_1206_3216Metric</t>
        </is>
      </c>
      <c r="F8" t="inlineStr">
        <is>
          <t xml:space="preserve">GRM155R60J106ME05D</t>
        </is>
      </c>
      <c r="G8" t="inlineStr">
        <is>
          <t xml:space="preserve">Murata Electronics</t>
        </is>
      </c>
      <c r="H8" t="inlineStr">
        <is>
          <t xml:space="preserve">CAP CER 10UF 6.3V X5R 0402</t>
        </is>
      </c>
      <c r="I8" s="3">
        <v>0.1</v>
      </c>
      <c r="J8" s="2">
        <v>0.2</v>
      </c>
      <c r="K8">
        <v>766794</v>
      </c>
      <c r="L8" t="inlineStr">
        <is>
          <t xml:space="preserve">490-GRM155R60J106ME05DTR-ND</t>
        </is>
      </c>
      <c r="M8" t="str">
        <f>HYPERLINK("https://search.murata.co.jp/Ceramy/image/img/A01X/G101/ENG/GRM155R60J106ME05-01A.pdf","Datasheet")</f>
        <v>Datasheet</v>
      </c>
      <c r="N8" t="str">
        <f>HYPERLINK("https://www.digikey.com/en/products/detail/murata-electronics/GRM155R60J106ME05D/11500166","Buy")</f>
        <v>Buy</v>
      </c>
      <c r="O8" t="inlineStr">
        <is>
          <t xml:space="preserve"/>
        </is>
      </c>
    </row>
    <row r="9">
      <c r="A9">
        <v>5</v>
      </c>
      <c r="B9" t="inlineStr">
        <is>
          <t xml:space="preserve">C7</t>
        </is>
      </c>
      <c r="C9">
        <v>1</v>
      </c>
      <c r="D9" t="inlineStr">
        <is>
          <t xml:space="preserve">0.1uF</t>
        </is>
      </c>
      <c r="E9" t="inlineStr">
        <is>
          <t xml:space="preserve">C_0603_1608Metric</t>
        </is>
      </c>
      <c r="F9" t="inlineStr">
        <is>
          <t xml:space="preserve">CL05B104KP5NNNC</t>
        </is>
      </c>
      <c r="G9" t="inlineStr">
        <is>
          <t xml:space="preserve">Samsung Electro-Mechanics</t>
        </is>
      </c>
      <c r="H9" t="inlineStr">
        <is>
          <t xml:space="preserve">CAP CER 0.1UF 10V X7R 0402</t>
        </is>
      </c>
      <c r="I9" s="3">
        <v>0.1</v>
      </c>
      <c r="J9" s="2">
        <v>0.1</v>
      </c>
      <c r="K9">
        <v>27468402</v>
      </c>
      <c r="L9" t="inlineStr">
        <is>
          <t xml:space="preserve">1276-1002-2-ND</t>
        </is>
      </c>
      <c r="M9" t="str">
        <f>HYPERLINK("https://mm.digikey.com/Volume0/opasdata/d220001/medias/docus/609/CL05B104KP5NNNC_Spec.pdf","Datasheet")</f>
        <v>Datasheet</v>
      </c>
      <c r="N9" t="str">
        <f>HYPERLINK("https://www.digikey.com/en/products/detail/samsung-electro-mechanics/CL05B104KP5NNNC/3886660","Buy")</f>
        <v>Buy</v>
      </c>
      <c r="O9" t="inlineStr">
        <is>
          <t xml:space="preserve"/>
        </is>
      </c>
    </row>
    <row r="10">
      <c r="A10">
        <v>6</v>
      </c>
      <c r="B10" t="inlineStr">
        <is>
          <t xml:space="preserve">C9, C10</t>
        </is>
      </c>
      <c r="C10">
        <v>2</v>
      </c>
      <c r="D10" t="inlineStr">
        <is>
          <t xml:space="preserve">0.1uF</t>
        </is>
      </c>
      <c r="E10" t="inlineStr">
        <is>
          <t xml:space="preserve">C_0805_2012Metric</t>
        </is>
      </c>
      <c r="F10" t="inlineStr">
        <is>
          <t xml:space="preserve">CL05B104KP5NNNC</t>
        </is>
      </c>
      <c r="G10" t="inlineStr">
        <is>
          <t xml:space="preserve">Samsung Electro-Mechanics</t>
        </is>
      </c>
      <c r="H10" t="inlineStr">
        <is>
          <t xml:space="preserve">CAP CER 0.1UF 10V X7R 0402</t>
        </is>
      </c>
      <c r="I10" s="3">
        <v>0.1</v>
      </c>
      <c r="J10" s="2">
        <v>0.2</v>
      </c>
      <c r="K10">
        <v>27468402</v>
      </c>
      <c r="L10" t="inlineStr">
        <is>
          <t xml:space="preserve">1276-1002-2-ND</t>
        </is>
      </c>
      <c r="M10" t="str">
        <f>HYPERLINK("https://mm.digikey.com/Volume0/opasdata/d220001/medias/docus/609/CL05B104KP5NNNC_Spec.pdf","Datasheet")</f>
        <v>Datasheet</v>
      </c>
      <c r="N10" t="str">
        <f>HYPERLINK("https://www.digikey.com/en/products/detail/samsung-electro-mechanics/CL05B104KP5NNNC/3886660","Buy")</f>
        <v>Buy</v>
      </c>
      <c r="O10" t="inlineStr">
        <is>
          <t xml:space="preserve"/>
        </is>
      </c>
    </row>
    <row r="11">
      <c r="A11">
        <v>7</v>
      </c>
      <c r="B11" t="inlineStr">
        <is>
          <t xml:space="preserve">C11</t>
        </is>
      </c>
      <c r="C11">
        <v>1</v>
      </c>
      <c r="D11" t="inlineStr">
        <is>
          <t xml:space="preserve">100nF</t>
        </is>
      </c>
      <c r="E11" t="inlineStr">
        <is>
          <t xml:space="preserve">C_0603_1608Metric</t>
        </is>
      </c>
      <c r="F11" t="inlineStr">
        <is>
          <t xml:space="preserve">CL10E104KC8VPNC</t>
        </is>
      </c>
      <c r="G11" t="inlineStr">
        <is>
          <t xml:space="preserve">Samsung Electro-Mechanics</t>
        </is>
      </c>
      <c r="H11" t="inlineStr">
        <is>
          <t xml:space="preserve">CAP CER 100NF 100V X8L 0603</t>
        </is>
      </c>
      <c r="I11" s="3">
        <v>0.27</v>
      </c>
      <c r="J11" s="2">
        <v>0.27</v>
      </c>
      <c r="K11">
        <v>445616</v>
      </c>
      <c r="L11" t="inlineStr">
        <is>
          <t xml:space="preserve">1276-CL10E104KC8VPNCTR-ND</t>
        </is>
      </c>
      <c r="M11" t="str">
        <f>HYPERLINK("https://mm.digikey.com/Volume0/opasdata/d220001/medias/docus/5458/CL10E104KC8VPNC_Spec.pdf","Datasheet")</f>
        <v>Datasheet</v>
      </c>
      <c r="N11" t="str">
        <f>HYPERLINK("https://www.digikey.com/en/products/detail/samsung-electro-mechanics/CL10E104KC8VPNC/20498486","Buy")</f>
        <v>Buy</v>
      </c>
      <c r="O11" t="inlineStr">
        <is>
          <t xml:space="preserve"/>
        </is>
      </c>
    </row>
    <row r="12">
      <c r="A12">
        <v>8</v>
      </c>
      <c r="B12" t="inlineStr">
        <is>
          <t xml:space="preserve">C12, C13</t>
        </is>
      </c>
      <c r="C12">
        <v>2</v>
      </c>
      <c r="D12" t="inlineStr">
        <is>
          <t xml:space="preserve">220pF</t>
        </is>
      </c>
      <c r="E12" t="inlineStr">
        <is>
          <t xml:space="preserve">C_0603_1608Metric</t>
        </is>
      </c>
      <c r="F12" t="inlineStr">
        <is>
          <t xml:space="preserve">C0603C221K5RACTU</t>
        </is>
      </c>
      <c r="G12" t="inlineStr">
        <is>
          <t xml:space="preserve">KEMET</t>
        </is>
      </c>
      <c r="H12" t="inlineStr">
        <is>
          <t xml:space="preserve">CAP CER 220PF 50V X7R 0603</t>
        </is>
      </c>
      <c r="I12" s="3">
        <v>0.1</v>
      </c>
      <c r="J12" s="2">
        <v>0.2</v>
      </c>
      <c r="K12">
        <v>933138</v>
      </c>
      <c r="L12" t="inlineStr">
        <is>
          <t xml:space="preserve">399-C0603C221K5RACTUTR-ND</t>
        </is>
      </c>
      <c r="M12" t="str">
        <f>HYPERLINK("https://yageogroup.com/content/datasheet/asset/file/KEM_C1002_X7R_SMD","Datasheet")</f>
        <v>Datasheet</v>
      </c>
      <c r="N12" t="str">
        <f>HYPERLINK("https://www.digikey.com/en/products/detail/kemet/C0603C221K5RACTU/411073","Buy")</f>
        <v>Buy</v>
      </c>
      <c r="O12" t="inlineStr">
        <is>
          <t xml:space="preserve"/>
        </is>
      </c>
    </row>
    <row r="13">
      <c r="A13">
        <v>9</v>
      </c>
      <c r="B13" t="inlineStr">
        <is>
          <t xml:space="preserve">D1, D2, D3, D4</t>
        </is>
      </c>
      <c r="C13">
        <v>4</v>
      </c>
      <c r="D13" t="inlineStr">
        <is>
          <t xml:space="preserve">LED</t>
        </is>
      </c>
      <c r="E13" t="inlineStr">
        <is>
          <t xml:space="preserve">LED_0805_2012Metric</t>
        </is>
      </c>
      <c r="F13" t="inlineStr">
        <is>
          <t xml:space="preserve">UHD111A-FKA-C3K23E1L3VG5ZB3Z3</t>
        </is>
      </c>
      <c r="G13" t="inlineStr">
        <is>
          <t xml:space="preserve">Cree LED</t>
        </is>
      </c>
      <c r="H13" t="inlineStr">
        <is>
          <t xml:space="preserve">LED RGB 0404 SMD</t>
        </is>
      </c>
      <c r="I13" s="3">
        <v>0.1</v>
      </c>
      <c r="J13" s="2">
        <v>0.4</v>
      </c>
      <c r="K13">
        <v>147266</v>
      </c>
      <c r="L13" t="inlineStr">
        <is>
          <t xml:space="preserve">90-UHD111A-FKA-C3K23E1L3VG5ZB3Z3-ND</t>
        </is>
      </c>
      <c r="M13" t="str">
        <f>HYPERLINK("https://downloads.cree-led.com/files/ds/h/HB-UHD111A-FKA.pdf","Datasheet")</f>
        <v>Datasheet</v>
      </c>
      <c r="N13" t="str">
        <f>HYPERLINK("https://www.digikey.com/en/products/detail/cree-led/UHD111A-FKA-C3K23E1L3VG5ZB3Z3/16833927","Buy")</f>
        <v>Buy</v>
      </c>
      <c r="O13" t="inlineStr">
        <is>
          <t xml:space="preserve"/>
        </is>
      </c>
    </row>
    <row r="14">
      <c r="A14">
        <v>10</v>
      </c>
      <c r="B14" t="inlineStr">
        <is>
          <t xml:space="preserve">J1</t>
        </is>
      </c>
      <c r="C14">
        <v>1</v>
      </c>
      <c r="D14" t="inlineStr">
        <is>
          <t xml:space="preserve">USB-C-P16</t>
        </is>
      </c>
      <c r="E14" t="inlineStr">
        <is>
          <t xml:space="preserve">USB-C-P16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11</v>
      </c>
      <c r="B15" t="inlineStr">
        <is>
          <t xml:space="preserve">J2, J6</t>
        </is>
      </c>
      <c r="C15">
        <v>2</v>
      </c>
      <c r="D15" t="inlineStr">
        <is>
          <t xml:space="preserve">B2B-PH-K-S</t>
        </is>
      </c>
      <c r="E15" t="inlineStr">
        <is>
          <t xml:space="preserve">JST_B2B-PH-K-S</t>
        </is>
      </c>
      <c r="F15" t="inlineStr">
        <is>
          <t xml:space="preserve">B2B-PH-K-S</t>
        </is>
      </c>
      <c r="G15" t="inlineStr">
        <is>
          <t xml:space="preserve">JST Sales America Inc.</t>
        </is>
      </c>
      <c r="H15" t="inlineStr">
        <is>
          <t xml:space="preserve">CONN HEADER VERT 2POS 2MM</t>
        </is>
      </c>
      <c r="I15" s="3">
        <v>0.11</v>
      </c>
      <c r="J15" s="2">
        <v>0.22</v>
      </c>
      <c r="K15">
        <v>19463</v>
      </c>
      <c r="L15" t="inlineStr">
        <is>
          <t xml:space="preserve">455-1704-ND</t>
        </is>
      </c>
      <c r="M15" t="str">
        <f>HYPERLINK("https://www.jst-mfg.com/product/pdf/eng/ePH.pdf","Datasheet")</f>
        <v>Datasheet</v>
      </c>
      <c r="N15" t="str">
        <f>HYPERLINK("https://www.digikey.com/en/products/detail/jst-sales-america-inc/B2B-PH-K-S/926611","Buy")</f>
        <v>Buy</v>
      </c>
      <c r="O15" t="inlineStr">
        <is>
          <t xml:space="preserve"/>
        </is>
      </c>
    </row>
    <row r="16">
      <c r="A16">
        <v>12</v>
      </c>
      <c r="B16" t="inlineStr">
        <is>
          <t xml:space="preserve">J3</t>
        </is>
      </c>
      <c r="C16">
        <v>1</v>
      </c>
      <c r="D16" t="inlineStr">
        <is>
          <t xml:space="preserve">Conn_01x02_Socket</t>
        </is>
      </c>
      <c r="E16" t="inlineStr">
        <is>
          <t xml:space="preserve">PinSocket_1x02_P2.54mm_Vertical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13</v>
      </c>
      <c r="B17" t="inlineStr">
        <is>
          <t xml:space="preserve">R1</t>
        </is>
      </c>
      <c r="C17">
        <v>1</v>
      </c>
      <c r="D17" t="inlineStr">
        <is>
          <t xml:space="preserve">1M</t>
        </is>
      </c>
      <c r="E17" t="inlineStr">
        <is>
          <t xml:space="preserve">R_0603_1608Metric</t>
        </is>
      </c>
      <c r="F17" t="inlineStr">
        <is>
          <t xml:space="preserve">RC0402FR-071ML</t>
        </is>
      </c>
      <c r="G17" t="inlineStr">
        <is>
          <t xml:space="preserve">YAGEO</t>
        </is>
      </c>
      <c r="H17" t="inlineStr">
        <is>
          <t xml:space="preserve">RES 1M OHM 1% 1/16W 0402</t>
        </is>
      </c>
      <c r="I17" s="3">
        <v>0.1</v>
      </c>
      <c r="J17" s="2">
        <v>0.1</v>
      </c>
      <c r="K17">
        <v>2066587</v>
      </c>
      <c r="L17" t="inlineStr">
        <is>
          <t xml:space="preserve">311-1.00MLRTR-ND</t>
        </is>
      </c>
      <c r="M17" t="str">
        <f>HYPERLINK("https://yageogroup.com/content/datasheet/asset/file/PYU-RC_GROUP_51_ROHS_L","Datasheet")</f>
        <v>Datasheet</v>
      </c>
      <c r="N17" t="str">
        <f>HYPERLINK("https://www.digikey.com/en/products/detail/yageo/RC0402FR-071ML/726515","Buy")</f>
        <v>Buy</v>
      </c>
      <c r="O17" t="inlineStr">
        <is>
          <t xml:space="preserve"/>
        </is>
      </c>
    </row>
    <row r="18">
      <c r="A18">
        <v>14</v>
      </c>
      <c r="B18" t="inlineStr">
        <is>
          <t xml:space="preserve">R2</t>
        </is>
      </c>
      <c r="C18">
        <v>1</v>
      </c>
      <c r="D18" t="inlineStr">
        <is>
          <t xml:space="preserve">51k</t>
        </is>
      </c>
      <c r="E18" t="inlineStr">
        <is>
          <t xml:space="preserve">R_0603_1608Metric</t>
        </is>
      </c>
      <c r="F18" t="inlineStr">
        <is>
          <t xml:space="preserve">CRCW08051K00FKEA</t>
        </is>
      </c>
      <c r="G18" t="inlineStr">
        <is>
          <t xml:space="preserve">Vishay Dale</t>
        </is>
      </c>
      <c r="H18" t="inlineStr">
        <is>
          <t xml:space="preserve">RES SMD 1K OHM 1% 1/4W 0805</t>
        </is>
      </c>
      <c r="I18" s="3">
        <v>0.1</v>
      </c>
      <c r="J18" s="2">
        <v>0.1</v>
      </c>
      <c r="K18">
        <v>1066635</v>
      </c>
      <c r="L18" t="inlineStr">
        <is>
          <t xml:space="preserve">541-1.00KCTR-ND</t>
        </is>
      </c>
      <c r="M18" t="str">
        <f>HYPERLINK("https://www.vishay.com/docs/20035/dcrcwe3.pdf","Datasheet")</f>
        <v>Datasheet</v>
      </c>
      <c r="N18" t="str">
        <f>HYPERLINK("https://www.digikey.com/en/products/detail/vishay-dale/CRCW08051K00FKEA/1175637","Buy")</f>
        <v>Buy</v>
      </c>
      <c r="O18" t="inlineStr">
        <is>
          <t xml:space="preserve"/>
        </is>
      </c>
    </row>
    <row r="19">
      <c r="A19">
        <v>15</v>
      </c>
      <c r="B19" t="inlineStr">
        <is>
          <t xml:space="preserve">R3, R11, R15, R16</t>
        </is>
      </c>
      <c r="C19">
        <v>4</v>
      </c>
      <c r="D19" t="inlineStr">
        <is>
          <t xml:space="preserve">10k</t>
        </is>
      </c>
      <c r="E19" t="inlineStr">
        <is>
          <t xml:space="preserve">R_0603_1608Metric</t>
        </is>
      </c>
      <c r="F19" t="inlineStr">
        <is>
          <t xml:space="preserve">RC0603FR-0710KL</t>
        </is>
      </c>
      <c r="G19" t="inlineStr">
        <is>
          <t xml:space="preserve">YAGEO</t>
        </is>
      </c>
      <c r="H19" t="inlineStr">
        <is>
          <t xml:space="preserve">RES 10K OHM 1% 1/10W 0603</t>
        </is>
      </c>
      <c r="I19" s="3">
        <v>0.1</v>
      </c>
      <c r="J19" s="2">
        <v>0.4</v>
      </c>
      <c r="K19">
        <v>12267747</v>
      </c>
      <c r="L19" t="inlineStr">
        <is>
          <t xml:space="preserve">311-10.0KHRTR-ND</t>
        </is>
      </c>
      <c r="M19" t="str">
        <f>HYPERLINK("https://yageogroup.com/content/datasheet/asset/file/PYU-RC_GROUP_51_ROHS_L","Datasheet")</f>
        <v>Datasheet</v>
      </c>
      <c r="N19" t="str">
        <f>HYPERLINK("https://www.digikey.com/en/products/detail/yageo/RC0603FR-0710KL/726880","Buy")</f>
        <v>Buy</v>
      </c>
      <c r="O19" t="inlineStr">
        <is>
          <t xml:space="preserve"/>
        </is>
      </c>
    </row>
    <row r="20">
      <c r="A20">
        <v>16</v>
      </c>
      <c r="B20" t="inlineStr">
        <is>
          <t xml:space="preserve">R4</t>
        </is>
      </c>
      <c r="C20">
        <v>1</v>
      </c>
      <c r="D20" t="inlineStr">
        <is>
          <t xml:space="preserve">2k</t>
        </is>
      </c>
      <c r="E20" t="inlineStr">
        <is>
          <t xml:space="preserve">R_0603_1608Metric</t>
        </is>
      </c>
      <c r="F20" t="inlineStr">
        <is>
          <t xml:space="preserve">RC0402FR-072KL</t>
        </is>
      </c>
      <c r="G20" t="inlineStr">
        <is>
          <t xml:space="preserve">YAGEO</t>
        </is>
      </c>
      <c r="H20" t="inlineStr">
        <is>
          <t xml:space="preserve">RES 2K OHM 1% 1/16W 0402</t>
        </is>
      </c>
      <c r="I20" s="3">
        <v>0.1</v>
      </c>
      <c r="J20" s="2">
        <v>0.1</v>
      </c>
      <c r="K20">
        <v>2216148</v>
      </c>
      <c r="L20" t="inlineStr">
        <is>
          <t xml:space="preserve">311-2KLRTR-ND</t>
        </is>
      </c>
      <c r="M20" t="str">
        <f>HYPERLINK("https://yageogroup.com/content/datasheet/asset/file/PYU-RC_GROUP_51_ROHS_L","Datasheet")</f>
        <v>Datasheet</v>
      </c>
      <c r="N20" t="str">
        <f>HYPERLINK("https://www.digikey.com/en/products/detail/yageo/RC0402FR-072KL/2827565","Buy")</f>
        <v>Buy</v>
      </c>
      <c r="O20" t="inlineStr">
        <is>
          <t xml:space="preserve"/>
        </is>
      </c>
    </row>
    <row r="21">
      <c r="A21">
        <v>17</v>
      </c>
      <c r="B21" t="inlineStr">
        <is>
          <t xml:space="preserve">R5, R6</t>
        </is>
      </c>
      <c r="C21">
        <v>2</v>
      </c>
      <c r="D21" t="inlineStr">
        <is>
          <t xml:space="preserve">150</t>
        </is>
      </c>
      <c r="E21" t="inlineStr">
        <is>
          <t xml:space="preserve">R_0603_1608Metric</t>
        </is>
      </c>
      <c r="F21" t="inlineStr">
        <is>
          <t xml:space="preserve">150</t>
        </is>
      </c>
      <c r="G21" t="inlineStr">
        <is>
          <t xml:space="preserve">Keystone Electronics</t>
        </is>
      </c>
      <c r="H21" t="inlineStr">
        <is>
          <t xml:space="preserve">BATT HOLDER C 3 CELL SOLDER LUG</t>
        </is>
      </c>
      <c r="I21" s="3">
        <v>12.1</v>
      </c>
      <c r="J21" s="2">
        <v>24.2</v>
      </c>
      <c r="K21">
        <v>279</v>
      </c>
      <c r="L21" t="inlineStr">
        <is>
          <t xml:space="preserve">36-150-ND</t>
        </is>
      </c>
      <c r="M21" t="str">
        <f>HYPERLINK("https://www.keyelco.com/userAssets/file/K75p23.pdf","Datasheet")</f>
        <v>Datasheet</v>
      </c>
      <c r="N21" t="str">
        <f>HYPERLINK("https://www.digikey.com/en/products/detail/keystone-electronics/150/2745551","Buy")</f>
        <v>Buy</v>
      </c>
      <c r="O21" t="inlineStr">
        <is>
          <t xml:space="preserve"/>
        </is>
      </c>
    </row>
    <row r="22">
      <c r="A22">
        <v>18</v>
      </c>
      <c r="B22" t="inlineStr">
        <is>
          <t xml:space="preserve">R7</t>
        </is>
      </c>
      <c r="C22">
        <v>1</v>
      </c>
      <c r="D22" t="inlineStr">
        <is>
          <t xml:space="preserve">100</t>
        </is>
      </c>
      <c r="E22" t="inlineStr">
        <is>
          <t xml:space="preserve">R_0603_1608Metric</t>
        </is>
      </c>
      <c r="F22" t="inlineStr">
        <is>
          <t xml:space="preserve">100</t>
        </is>
      </c>
      <c r="G22" t="inlineStr">
        <is>
          <t xml:space="preserve">Keystone Electronics</t>
        </is>
      </c>
      <c r="H22" t="inlineStr">
        <is>
          <t xml:space="preserve">BATT CONTACT CLIP AA SOLDER LUG</t>
        </is>
      </c>
      <c r="I22" s="3">
        <v>1.29</v>
      </c>
      <c r="J22" s="2">
        <v>1.29</v>
      </c>
      <c r="K22">
        <v>1001</v>
      </c>
      <c r="L22" t="inlineStr">
        <is>
          <t xml:space="preserve">36-100-ND</t>
        </is>
      </c>
      <c r="M22" t="str">
        <f>HYPERLINK("https://www.keyelco.com/userAssets/file/K75p22.pdf","Datasheet")</f>
        <v>Datasheet</v>
      </c>
      <c r="N22" t="str">
        <f>HYPERLINK("https://www.digikey.com/en/products/detail/keystone-electronics/100/315141","Buy")</f>
        <v>Buy</v>
      </c>
      <c r="O22" t="inlineStr">
        <is>
          <t xml:space="preserve"/>
        </is>
      </c>
    </row>
    <row r="23">
      <c r="A23">
        <v>19</v>
      </c>
      <c r="B23" t="inlineStr">
        <is>
          <t xml:space="preserve">R8, R9</t>
        </is>
      </c>
      <c r="C23">
        <v>2</v>
      </c>
      <c r="D23" t="inlineStr">
        <is>
          <t xml:space="preserve">5.1k</t>
        </is>
      </c>
      <c r="E23" t="inlineStr">
        <is>
          <t xml:space="preserve">R_0603_1608Metric</t>
        </is>
      </c>
      <c r="F23" t="inlineStr">
        <is>
          <t xml:space="preserve">ERJ-2RKF5101X</t>
        </is>
      </c>
      <c r="G23" t="inlineStr">
        <is>
          <t xml:space="preserve">Panasonic Industry</t>
        </is>
      </c>
      <c r="H23" t="inlineStr">
        <is>
          <t xml:space="preserve">RES SMD 5.1K OHM 1% 1/10W 0402</t>
        </is>
      </c>
      <c r="I23" s="3">
        <v>0.1</v>
      </c>
      <c r="J23" s="2">
        <v>0.2</v>
      </c>
      <c r="K23">
        <v>738587</v>
      </c>
      <c r="L23" t="inlineStr">
        <is>
          <t xml:space="preserve">P5.10KLTR-ND</t>
        </is>
      </c>
      <c r="M23" t="str">
        <f>HYPERLINK("https://industrial.panasonic.com/cdbs/www-data/pdf/RDA0000/AOA0000C304.pdf","Datasheet")</f>
        <v>Datasheet</v>
      </c>
      <c r="N23" t="str">
        <f>HYPERLINK("https://www.digikey.com/en/products/detail/panasonic-industry/ERJ-2RKF5101X/1746242","Buy")</f>
        <v>Buy</v>
      </c>
      <c r="O23" t="inlineStr">
        <is>
          <t xml:space="preserve"/>
        </is>
      </c>
    </row>
    <row r="24">
      <c r="A24">
        <v>20</v>
      </c>
      <c r="B24" t="inlineStr">
        <is>
          <t xml:space="preserve">R10, R13</t>
        </is>
      </c>
      <c r="C24">
        <v>2</v>
      </c>
      <c r="D24" t="inlineStr">
        <is>
          <t xml:space="preserve">100k</t>
        </is>
      </c>
      <c r="E24" t="inlineStr">
        <is>
          <t xml:space="preserve">R_0603_1608Metric</t>
        </is>
      </c>
      <c r="F24" t="inlineStr">
        <is>
          <t xml:space="preserve">RC0402FR-07100KL</t>
        </is>
      </c>
      <c r="G24" t="inlineStr">
        <is>
          <t xml:space="preserve">YAGEO</t>
        </is>
      </c>
      <c r="H24" t="inlineStr">
        <is>
          <t xml:space="preserve">RES 100K OHM 1% 1/16W 0402</t>
        </is>
      </c>
      <c r="I24" s="3">
        <v>0.1</v>
      </c>
      <c r="J24" s="2">
        <v>0.2</v>
      </c>
      <c r="K24">
        <v>12945540</v>
      </c>
      <c r="L24" t="inlineStr">
        <is>
          <t xml:space="preserve">311-100KLRTR-ND</t>
        </is>
      </c>
      <c r="M24" t="str">
        <f>HYPERLINK("https://yageogroup.com/content/datasheet/asset/file/PYU-RC_GROUP_51_ROHS_L","Datasheet")</f>
        <v>Datasheet</v>
      </c>
      <c r="N24" t="str">
        <f>HYPERLINK("https://www.digikey.com/en/products/detail/yageo/RC0402FR-07100KL/726526","Buy")</f>
        <v>Buy</v>
      </c>
      <c r="O24" t="inlineStr">
        <is>
          <t xml:space="preserve"/>
        </is>
      </c>
    </row>
    <row r="25">
      <c r="A25">
        <v>21</v>
      </c>
      <c r="B25" t="inlineStr">
        <is>
          <t xml:space="preserve">R14</t>
        </is>
      </c>
      <c r="C25">
        <v>1</v>
      </c>
      <c r="D25" t="inlineStr">
        <is>
          <t xml:space="preserve">220k</t>
        </is>
      </c>
      <c r="E25" t="inlineStr">
        <is>
          <t xml:space="preserve">R_0603_1608Metric</t>
        </is>
      </c>
      <c r="F25" t="inlineStr">
        <is>
          <t xml:space="preserve">CRCW040220K0FKED</t>
        </is>
      </c>
      <c r="G25" t="inlineStr">
        <is>
          <t xml:space="preserve">Vishay Dale</t>
        </is>
      </c>
      <c r="H25" t="inlineStr">
        <is>
          <t xml:space="preserve">RES 20K OHM 1% 1/16W 0402</t>
        </is>
      </c>
      <c r="I25" s="3">
        <v>0.1</v>
      </c>
      <c r="J25" s="2">
        <v>0.1</v>
      </c>
      <c r="K25">
        <v>923985</v>
      </c>
      <c r="L25" t="inlineStr">
        <is>
          <t xml:space="preserve">541-20.0KLTR-ND</t>
        </is>
      </c>
      <c r="M25" t="str">
        <f>HYPERLINK("https://www.vishay.com/docs/20035/dcrcwe3.pdf","Datasheet")</f>
        <v>Datasheet</v>
      </c>
      <c r="N25" t="str">
        <f>HYPERLINK("https://www.digikey.com/en/products/detail/vishay-dale/CRCW040220K0FKED/1178153","Buy")</f>
        <v>Buy</v>
      </c>
      <c r="O25" t="inlineStr">
        <is>
          <t xml:space="preserve"/>
        </is>
      </c>
    </row>
    <row r="26">
      <c r="A26">
        <v>22</v>
      </c>
      <c r="B26" t="inlineStr">
        <is>
          <t xml:space="preserve">SW1</t>
        </is>
      </c>
      <c r="C26">
        <v>1</v>
      </c>
      <c r="D26" t="inlineStr">
        <is>
          <t xml:space="preserve">RESET</t>
        </is>
      </c>
      <c r="E26" t="inlineStr">
        <is>
          <t xml:space="preserve">PTS810_CNK</t>
        </is>
      </c>
      <c r="F26" t="inlineStr">
        <is>
          <t xml:space="preserve">NC7SZ175P6X</t>
        </is>
      </c>
      <c r="G26" t="inlineStr">
        <is>
          <t xml:space="preserve">onsemi</t>
        </is>
      </c>
      <c r="H26" t="inlineStr">
        <is>
          <t xml:space="preserve">IC FF D-TYPE SINGLE 1BIT SC-88</t>
        </is>
      </c>
      <c r="I26" s="3">
        <v>0.1</v>
      </c>
      <c r="J26" s="2">
        <v>0.1</v>
      </c>
      <c r="K26">
        <v>142234</v>
      </c>
      <c r="L26" t="inlineStr">
        <is>
          <t xml:space="preserve">NC7SZ175P6XTR-ND</t>
        </is>
      </c>
      <c r="M26" t="str">
        <f>HYPERLINK("https://www.onsemi.com/pub/Collateral/NC7SZ175-D.PDF","Datasheet")</f>
        <v>Datasheet</v>
      </c>
      <c r="N26" t="str">
        <f>HYPERLINK("https://www.digikey.com/en/products/detail/onsemi/NC7SZ175P6X/673370","Buy")</f>
        <v>Buy</v>
      </c>
      <c r="O26" t="inlineStr">
        <is>
          <t xml:space="preserve"/>
        </is>
      </c>
    </row>
    <row r="27">
      <c r="A27">
        <v>23</v>
      </c>
      <c r="B27" t="inlineStr">
        <is>
          <t xml:space="preserve">SW2</t>
        </is>
      </c>
      <c r="C27">
        <v>1</v>
      </c>
      <c r="D27" t="inlineStr">
        <is>
          <t xml:space="preserve">BOOT</t>
        </is>
      </c>
      <c r="E27" t="inlineStr">
        <is>
          <t xml:space="preserve">PTS810_CNK</t>
        </is>
      </c>
      <c r="F27" t="inlineStr">
        <is>
          <t xml:space="preserve">PD-CAP-1/8-0</t>
        </is>
      </c>
      <c r="G27" t="inlineStr">
        <is>
          <t xml:space="preserve">TE Connectivity Raychem Cable Protection</t>
        </is>
      </c>
      <c r="H27" t="inlineStr">
        <is>
          <t xml:space="preserve">HEATSHRINK CAP BLACK</t>
        </is>
      </c>
      <c r="I27" s="3">
        <v>0.17</v>
      </c>
      <c r="J27" s="2">
        <v>0.17</v>
      </c>
      <c r="K27">
        <v>22435</v>
      </c>
      <c r="L27" t="inlineStr">
        <is>
          <t xml:space="preserve">PDC018K-ND</t>
        </is>
      </c>
      <c r="M27" t="str">
        <f>HYPERLINK("https://www.te.com/commerce/DocumentDelivery/DDEController?Action=srchrtrv&amp;DocNm=PD-CAPS&amp;DocType=Customer+Drawing&amp;DocLang=English","Datasheet")</f>
        <v>Datasheet</v>
      </c>
      <c r="N27" t="str">
        <f>HYPERLINK("https://www.digikey.com/en/products/detail/te-connectivity-raychem-cable-protection/PD-CAP-1-8-0/1825232","Buy")</f>
        <v>Buy</v>
      </c>
      <c r="O27" t="inlineStr">
        <is>
          <t xml:space="preserve"/>
        </is>
      </c>
    </row>
    <row r="28">
      <c r="A28">
        <v>24</v>
      </c>
      <c r="B28" t="inlineStr">
        <is>
          <t xml:space="preserve">U1</t>
        </is>
      </c>
      <c r="C28">
        <v>1</v>
      </c>
      <c r="D28" t="inlineStr">
        <is>
          <t xml:space="preserve">ESP32-S3-WROOM-1-N8</t>
        </is>
      </c>
      <c r="E28" t="inlineStr">
        <is>
          <t xml:space="preserve">ESP32-S3-WROOM-1</t>
        </is>
      </c>
      <c r="F28" t="inlineStr">
        <is>
          <t xml:space="preserve">ESP32-S3-WROOM-1-N8</t>
        </is>
      </c>
      <c r="G28" t="inlineStr">
        <is>
          <t xml:space="preserve">Espressif Systems</t>
        </is>
      </c>
      <c r="H28" t="inlineStr">
        <is>
          <t xml:space="preserve">RF TXRX MODULE WIFI PCB TRACE</t>
        </is>
      </c>
      <c r="I28" s="3">
        <v>5.66</v>
      </c>
      <c r="J28" s="2">
        <v>5.66</v>
      </c>
      <c r="K28">
        <v>3012</v>
      </c>
      <c r="L28" t="inlineStr">
        <is>
          <t xml:space="preserve">5407-ESP32-S3-WROOM-1-N8TR-ND</t>
        </is>
      </c>
      <c r="M28" t="str">
        <f>HYPERLINK("https://www.espressif.com/sites/default/files/documentation/esp32-s3-wroom-1_wroom-1u_datasheet_en.pdf","Datasheet")</f>
        <v>Datasheet</v>
      </c>
      <c r="N28" t="str">
        <f>HYPERLINK("https://www.digikey.com/en/products/detail/espressif-systems/ESP32-S3-WROOM-1-N8/15200089","Buy")</f>
        <v>Buy</v>
      </c>
      <c r="O28" t="inlineStr">
        <is>
          <t xml:space="preserve"/>
        </is>
      </c>
    </row>
    <row r="29">
      <c r="A29">
        <v>25</v>
      </c>
      <c r="B29" t="inlineStr">
        <is>
          <t xml:space="preserve">U2</t>
        </is>
      </c>
      <c r="C29">
        <v>1</v>
      </c>
      <c r="D29" t="inlineStr">
        <is>
          <t xml:space="preserve">BQ24040DSQR</t>
        </is>
      </c>
      <c r="E29" t="inlineStr">
        <is>
          <t xml:space="preserve">DSQ10_P9X1P5</t>
        </is>
      </c>
      <c r="F29" t="inlineStr">
        <is>
          <t xml:space="preserve">BQ24040DSQR</t>
        </is>
      </c>
      <c r="G29" t="inlineStr">
        <is>
          <t xml:space="preserve">Texas Instruments</t>
        </is>
      </c>
      <c r="H29" t="inlineStr">
        <is>
          <t xml:space="preserve">IC BATT CHG LI-ION 1CELL 10SON</t>
        </is>
      </c>
      <c r="I29" s="3">
        <v>0.95</v>
      </c>
      <c r="J29" s="2">
        <v>0.95</v>
      </c>
      <c r="K29">
        <v>25428</v>
      </c>
      <c r="L29" t="inlineStr">
        <is>
          <t xml:space="preserve">296-37142-2-ND</t>
        </is>
      </c>
      <c r="M29" t="str">
        <f>HYPERLINK("https://www.ti.com/lit/ds/symlink/bq24040.pdf","Datasheet")</f>
        <v>Datasheet</v>
      </c>
      <c r="N29" t="str">
        <f>HYPERLINK("https://www.digikey.com/en/products/detail/texas-instruments/BQ24040DSQR/2231631","Buy")</f>
        <v>Buy</v>
      </c>
      <c r="O29" t="inlineStr">
        <is>
          <t xml:space="preserve"/>
        </is>
      </c>
    </row>
    <row r="30">
      <c r="A30">
        <v>26</v>
      </c>
      <c r="B30" t="inlineStr">
        <is>
          <t xml:space="preserve">U3</t>
        </is>
      </c>
      <c r="C30">
        <v>1</v>
      </c>
      <c r="D30" t="inlineStr">
        <is>
          <t xml:space="preserve">TLV75801PDBV</t>
        </is>
      </c>
      <c r="E30" t="inlineStr">
        <is>
          <t xml:space="preserve">SOT-23-5</t>
        </is>
      </c>
      <c r="F30" t="inlineStr">
        <is>
          <t xml:space="preserve">TLV75801PDBVR</t>
        </is>
      </c>
      <c r="G30" t="inlineStr">
        <is>
          <t xml:space="preserve">Texas Instruments</t>
        </is>
      </c>
      <c r="H30" t="inlineStr">
        <is>
          <t xml:space="preserve">IC REG LIN POS ADJ 500MA SOT23-5</t>
        </is>
      </c>
      <c r="I30" s="3">
        <v>0.31</v>
      </c>
      <c r="J30" s="2">
        <v>0.31</v>
      </c>
      <c r="K30">
        <v>60801</v>
      </c>
      <c r="L30" t="inlineStr">
        <is>
          <t xml:space="preserve">296-TLV75801PDBVRTR-ND</t>
        </is>
      </c>
      <c r="M30" t="str">
        <f>HYPERLINK("https://www.ti.com/general/docs/suppproductinfo.tsp?distId=10&amp;gotoUrl=https%3A%2F%2Fwww.ti.com%2Flit%2Fgpn%2Ftlv758p","Datasheet")</f>
        <v>Datasheet</v>
      </c>
      <c r="N30" t="str">
        <f>HYPERLINK("https://www.digikey.com/en/products/detail/texas-instruments/TLV75801PDBVR/10715374","Buy")</f>
        <v>Buy</v>
      </c>
      <c r="O30" t="inlineStr">
        <is>
          <t xml:space="preserve"/>
        </is>
      </c>
    </row>
    <row r="31">
      <c r="A31">
        <v>27</v>
      </c>
      <c r="B31" t="inlineStr">
        <is>
          <t xml:space="preserve">U4</t>
        </is>
      </c>
      <c r="C31">
        <v>1</v>
      </c>
      <c r="D31" t="inlineStr">
        <is>
          <t xml:space="preserve">USBLC6-2SC6</t>
        </is>
      </c>
      <c r="E31" t="inlineStr">
        <is>
          <t xml:space="preserve">SOT95P280X145-6N</t>
        </is>
      </c>
      <c r="F31" t="inlineStr">
        <is>
          <t xml:space="preserve">USBLC6-2SC6</t>
        </is>
      </c>
      <c r="G31" t="inlineStr">
        <is>
          <t xml:space="preserve">Shenzhen Slkormicro Semicon Co., Ltd.</t>
        </is>
      </c>
      <c r="H31" t="inlineStr">
        <is>
          <t xml:space="preserve">6A@8/20US 13V 78W@8/20US 9V 5V S</t>
        </is>
      </c>
      <c r="I31" s="3">
        <v>0.17</v>
      </c>
      <c r="J31" s="2">
        <v>0.17</v>
      </c>
      <c r="K31">
        <v>12024</v>
      </c>
      <c r="L31" t="inlineStr">
        <is>
          <t xml:space="preserve">5399-USBLC6-2SC6TR-ND</t>
        </is>
      </c>
      <c r="M31" t="str">
        <f>HYPERLINK("https://mm.digikey.com/Volume0/opasdata/d220001/medias/docus/7833/USBLC6-2SC6%20SOT-23-6L.PDF","Datasheet")</f>
        <v>Datasheet</v>
      </c>
      <c r="N31" t="str">
        <f>HYPERLINK("https://www.digikey.com/en/products/detail/shenzhen-slkormicro-semicon-co-ltd/USBLC6-2SC6/28143029","Buy")</f>
        <v>Buy</v>
      </c>
      <c r="O31" t="inlineStr">
        <is>
          <t xml:space="preserve"/>
        </is>
      </c>
    </row>
    <row r="32">
      <c r="A32">
        <v>28</v>
      </c>
      <c r="B32" t="inlineStr">
        <is>
          <t xml:space="preserve">U5</t>
        </is>
      </c>
      <c r="C32">
        <v>1</v>
      </c>
      <c r="D32" t="inlineStr">
        <is>
          <t xml:space="preserve">MAX98357AETE+T</t>
        </is>
      </c>
      <c r="E32" t="inlineStr">
        <is>
          <t xml:space="preserve">DAC</t>
        </is>
      </c>
      <c r="F32" t="inlineStr">
        <is>
          <t xml:space="preserve">MAX98357AETE+T</t>
        </is>
      </c>
      <c r="G32" t="inlineStr">
        <is>
          <t xml:space="preserve">Analog Devices Inc./Maxim Integrated</t>
        </is>
      </c>
      <c r="H32" t="inlineStr">
        <is>
          <t xml:space="preserve">IC AMP CLASS D MONO 3.2W 16TQFN</t>
        </is>
      </c>
      <c r="I32" s="3">
        <v>3.73</v>
      </c>
      <c r="J32" s="2">
        <v>3.73</v>
      </c>
      <c r="K32">
        <v>22470</v>
      </c>
      <c r="L32" t="inlineStr">
        <is>
          <t xml:space="preserve">MAX98357AETE+TTR-ND</t>
        </is>
      </c>
      <c r="M32" t="str">
        <f>HYPERLINK("https://datasheets.maximintegrated.com/en/ds/MAX98357A-MAX98357B.pdf","Datasheet")</f>
        <v>Datasheet</v>
      </c>
      <c r="N32" t="str">
        <f>HYPERLINK("https://www.digikey.com/en/products/detail/analog-devices-inc-maxim-integrated/MAX98357AETE-T/4936122","Buy")</f>
        <v>Buy</v>
      </c>
      <c r="O32" t="inlineStr">
        <is>
          <t xml:space="preserve"/>
        </is>
      </c>
    </row>
    <row r="33">
      <c r="A33">
        <v>29</v>
      </c>
      <c r="B33" t="inlineStr">
        <is>
          <t xml:space="preserve">U6</t>
        </is>
      </c>
      <c r="C33">
        <v>1</v>
      </c>
      <c r="D33" t="inlineStr">
        <is>
          <t xml:space="preserve">08JQ-BT</t>
        </is>
      </c>
      <c r="E33" t="inlineStr">
        <is>
          <t xml:space="preserve">JSTx8</t>
        </is>
      </c>
      <c r="F33" t="inlineStr">
        <is>
          <t xml:space="preserve">08JQ-BT</t>
        </is>
      </c>
      <c r="G33" t="inlineStr">
        <is>
          <t xml:space="preserve">JST Sales America Inc.</t>
        </is>
      </c>
      <c r="H33" t="inlineStr">
        <is>
          <t xml:space="preserve">CONN RCPT 8POS 0.098 TIN PCB</t>
        </is>
      </c>
      <c r="I33" s="3">
        <v>0.51</v>
      </c>
      <c r="J33" s="2">
        <v>0.51</v>
      </c>
      <c r="K33">
        <v>892</v>
      </c>
      <c r="L33" t="inlineStr">
        <is>
          <t xml:space="preserve">455-2970-ND</t>
        </is>
      </c>
      <c r="M33" t="str">
        <f>HYPERLINK("https://www.jst-mfg.com/product/pdf/eng/eJQ.pdf","Datasheet")</f>
        <v>Datasheet</v>
      </c>
      <c r="N33" t="str">
        <f>HYPERLINK("https://www.digikey.com/en/products/detail/jst-sales-america-inc/08JQ-BT/4918702","Buy")</f>
        <v>Buy</v>
      </c>
      <c r="O33" t="inlineStr">
        <is>
          <t xml:space="preserve"/>
        </is>
      </c>
    </row>
    <row r="34">
      <c r="A34">
        <v>30</v>
      </c>
      <c r="B34" t="inlineStr">
        <is>
          <t xml:space="preserve">V1</t>
        </is>
      </c>
      <c r="C34">
        <v>1</v>
      </c>
      <c r="D34" t="inlineStr">
        <is>
          <t xml:space="preserve">2.2</t>
        </is>
      </c>
      <c r="E34" t="inlineStr">
        <is>
          <t xml:space="preserve"/>
        </is>
      </c>
      <c r="F34" t="inlineStr">
        <is>
          <t xml:space="preserve">T18S9M4</t>
        </is>
      </c>
      <c r="G34" t="inlineStr">
        <is>
          <t xml:space="preserve">HellermannTyton</t>
        </is>
      </c>
      <c r="H34" t="inlineStr">
        <is>
          <t xml:space="preserve">CBL TIE LOCKING NAT 18LB 3.27"</t>
        </is>
      </c>
      <c r="I34" s="3">
        <v>0.02322</v>
      </c>
      <c r="J34" s="2">
        <v>0.0232</v>
      </c>
      <c r="K34">
        <v>57900</v>
      </c>
      <c r="L34" t="inlineStr">
        <is>
          <t xml:space="preserve">1436-1516-ND</t>
        </is>
      </c>
      <c r="M34" t="str">
        <f>HYPERLINK("https://assets.hellermanntyton.us/m/2164f83b29279c64/original/TDS_111-02809_us.pdf","Datasheet")</f>
        <v>Datasheet</v>
      </c>
      <c r="N34" t="str">
        <f>HYPERLINK("https://www.digikey.com/en/products/detail/hellermanntyton/T18S9M4/4290367","Buy")</f>
        <v>Buy</v>
      </c>
      <c r="O34" t="inlineStr">
        <is>
          <t xml:space="preserve"/>
        </is>
      </c>
    </row>
    <row r="35"/>
    <row r="36">
      <c r="A36" t="inlineStr">
        <is>
          <t xml:space="preserve"/>
        </is>
      </c>
      <c r="B36" s="1" t="inlineStr">
        <is>
          <t xml:space="preserve">TOTAL</t>
        </is>
      </c>
      <c r="C36" s="1">
        <v>45</v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s="4">
        <v>40.4032</v>
      </c>
    </row>
  </sheetData>
</worksheet>
</file>